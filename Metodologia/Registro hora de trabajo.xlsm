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Downloads\"/>
    </mc:Choice>
  </mc:AlternateContent>
  <xr:revisionPtr revIDLastSave="0" documentId="13_ncr:1_{69818FE7-AAFB-427B-B8A8-0684593AAB99}" xr6:coauthVersionLast="47" xr6:coauthVersionMax="47" xr10:uidLastSave="{00000000-0000-0000-0000-000000000000}"/>
  <bookViews>
    <workbookView xWindow="-108" yWindow="-108" windowWidth="23256" windowHeight="13176" tabRatio="522" firstSheet="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oficial'!$A$14:$AD$70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oficial'!$D$14:$D$64</definedName>
    <definedName name="TaskStoryID" localSheetId="4">'Backlog de ejemplo'!$B$14:$B$53</definedName>
    <definedName name="TaskStoryID">'Backlog oficial'!$B$14:$B$59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70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B5" i="7"/>
  <c r="D5" i="7" s="1"/>
  <c r="D4" i="7"/>
  <c r="P10" i="16"/>
  <c r="T10" i="16"/>
  <c r="B19" i="7"/>
  <c r="D18" i="7"/>
  <c r="H11" i="16" l="1"/>
  <c r="I14" i="16"/>
  <c r="B20" i="7"/>
  <c r="D19" i="7"/>
  <c r="F11" i="16"/>
  <c r="G11" i="16"/>
  <c r="B21" i="7" l="1"/>
  <c r="D20" i="7"/>
  <c r="I11" i="16"/>
  <c r="J14" i="16"/>
  <c r="J11" i="16" l="1"/>
  <c r="K14" i="16"/>
  <c r="D21" i="7"/>
  <c r="B22" i="7"/>
  <c r="L14" i="16" l="1"/>
  <c r="K11" i="16"/>
  <c r="D22" i="7"/>
  <c r="A22" i="7"/>
  <c r="E22" i="7" s="1"/>
  <c r="B23" i="7"/>
  <c r="L11" i="16" l="1"/>
  <c r="M14" i="16"/>
  <c r="B24" i="7"/>
  <c r="A23" i="7"/>
  <c r="E23" i="7" s="1"/>
  <c r="D23" i="7"/>
  <c r="M11" i="16" l="1"/>
  <c r="N14" i="16"/>
  <c r="B25" i="7"/>
  <c r="D24" i="7"/>
  <c r="A24" i="7"/>
  <c r="E24" i="7" s="1"/>
  <c r="N11" i="16" l="1"/>
  <c r="O14" i="16"/>
  <c r="D25" i="7"/>
  <c r="A25" i="7"/>
  <c r="E25" i="7" s="1"/>
  <c r="B26" i="7"/>
  <c r="P14" i="16" l="1"/>
  <c r="O11" i="16"/>
  <c r="D26" i="7"/>
  <c r="A26" i="7"/>
  <c r="E26" i="7" s="1"/>
  <c r="B27" i="7"/>
  <c r="P11" i="16" l="1"/>
  <c r="Q14" i="16"/>
  <c r="B28" i="7"/>
  <c r="A27" i="7"/>
  <c r="E27" i="7" s="1"/>
  <c r="D27" i="7"/>
  <c r="Q11" i="16" l="1"/>
  <c r="R14" i="16"/>
  <c r="B29" i="7"/>
  <c r="D28" i="7"/>
  <c r="A28" i="7"/>
  <c r="E28" i="7" s="1"/>
  <c r="R11" i="16" l="1"/>
  <c r="S14" i="16"/>
  <c r="D29" i="7"/>
  <c r="A29" i="7"/>
  <c r="E29" i="7" s="1"/>
  <c r="B30" i="7"/>
  <c r="T14" i="16" l="1"/>
  <c r="S11" i="16"/>
  <c r="D30" i="7"/>
  <c r="A30" i="7"/>
  <c r="E30" i="7" s="1"/>
  <c r="T11" i="16" l="1"/>
  <c r="U14" i="16"/>
  <c r="U11" i="16" l="1"/>
  <c r="V14" i="16"/>
  <c r="V11" i="16" l="1"/>
  <c r="W14" i="16"/>
  <c r="X14" i="16" l="1"/>
  <c r="W11" i="16"/>
  <c r="X11" i="16" l="1"/>
  <c r="Y14" i="16"/>
  <c r="Z14" i="16" s="1"/>
  <c r="AA14" i="16" l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Y11" i="16"/>
  <c r="Z11" i="16" l="1"/>
  <c r="AA11" i="16" l="1"/>
  <c r="AB11" i="16" l="1"/>
  <c r="AC11" i="16" l="1"/>
  <c r="AC10" i="16" l="1"/>
  <c r="AD11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<sst xmlns="http://schemas.openxmlformats.org/spreadsheetml/2006/main" count="191" uniqueCount="82">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</sst>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8" fillId="0" borderId="0" xfId="0" applyFont="1" applyFill="1"/>
    <xf numFmtId="0" fontId="0" fillId="9" borderId="0" xfId="0" applyFill="1"/>
    <xf numFmtId="0" fontId="20" fillId="0" borderId="0" xfId="0" applyFont="1"/>
    <xf numFmtId="0" fontId="12" fillId="4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16" xfId="1" applyFont="1" applyFill="1" applyBorder="1" applyAlignment="1">
      <alignment horizontal="center" vertical="center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>
      <alignment vertical="center" wrapText="1"/>
    </xf>
    <xf numFmtId="0" fontId="0" fillId="0" borderId="0" xfId="0" applyFill="1"/>
    <xf numFmtId="0" fontId="8" fillId="2" borderId="0" xfId="0" applyFont="1" applyFill="1" applyAlignment="1"/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7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10294109069699621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</xdr:colOff>
      <xdr:row>0</xdr:row>
      <xdr:rowOff>15240</xdr:rowOff>
    </xdr:from>
    <xdr:to>
      <xdr:col>41</xdr:col>
      <xdr:colOff>68580</xdr:colOff>
      <xdr:row>8</xdr:row>
      <xdr:rowOff>7620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69" priority="1" stopIfTrue="1">
      <formula>$F4="Planned"</formula>
    </cfRule>
    <cfRule type="expression" dxfId="68" priority="2" stopIfTrue="1">
      <formula>$F4="Ongoing"</formula>
    </cfRule>
  </conditionalFormatting>
  <conditionalFormatting sqref="F4:F10 F16:F30">
    <cfRule type="expression" dxfId="67" priority="3" stopIfTrue="1">
      <formula>$F4="Planned"</formula>
    </cfRule>
    <cfRule type="expression" dxfId="66" priority="4" stopIfTrue="1">
      <formula>$F4="Ongoing"</formula>
    </cfRule>
    <cfRule type="cellIs" dxfId="65" priority="5" stopIfTrue="1" operator="equal">
      <formula>"Unplanned"</formula>
    </cfRule>
  </conditionalFormatting>
  <conditionalFormatting sqref="E4 G16:H30 A16:E30">
    <cfRule type="expression" dxfId="64" priority="6" stopIfTrue="1">
      <formula>OR($F4="Planned",$F4="Unplanned")</formula>
    </cfRule>
    <cfRule type="expression" dxfId="6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62" priority="1" stopIfTrue="1">
      <formula>$C4="Done"</formula>
    </cfRule>
    <cfRule type="expression" dxfId="61" priority="2" stopIfTrue="1">
      <formula>$C4="Ongoing"</formula>
    </cfRule>
    <cfRule type="expression" dxfId="60" priority="3" stopIfTrue="1">
      <formula>$C4="Removed"</formula>
    </cfRule>
  </conditionalFormatting>
  <conditionalFormatting sqref="G53">
    <cfRule type="expression" dxfId="59" priority="4" stopIfTrue="1">
      <formula>#REF!="Done"</formula>
    </cfRule>
    <cfRule type="expression" dxfId="58" priority="5" stopIfTrue="1">
      <formula>#REF!="Ongoing"</formula>
    </cfRule>
    <cfRule type="expression" dxfId="57" priority="6" stopIfTrue="1">
      <formula>#REF!="Removed"</formula>
    </cfRule>
  </conditionalFormatting>
  <conditionalFormatting sqref="G42:G43">
    <cfRule type="expression" dxfId="56" priority="7" stopIfTrue="1">
      <formula>#REF!="Done"</formula>
    </cfRule>
    <cfRule type="expression" dxfId="55" priority="8" stopIfTrue="1">
      <formula>#REF!="Ongoing"</formula>
    </cfRule>
    <cfRule type="expression" dxfId="54" priority="9" stopIfTrue="1">
      <formula>#REF!="Removed"</formula>
    </cfRule>
  </conditionalFormatting>
  <conditionalFormatting sqref="G22">
    <cfRule type="expression" dxfId="53" priority="10" stopIfTrue="1">
      <formula>#REF!="Done"</formula>
    </cfRule>
    <cfRule type="expression" dxfId="52" priority="11" stopIfTrue="1">
      <formula>#REF!="Ongoing"</formula>
    </cfRule>
    <cfRule type="expression" dxfId="51" priority="12" stopIfTrue="1">
      <formula>#REF!="Removed"</formula>
    </cfRule>
  </conditionalFormatting>
  <conditionalFormatting sqref="A41">
    <cfRule type="expression" dxfId="50" priority="32" stopIfTrue="1">
      <formula>#REF!="Done"</formula>
    </cfRule>
    <cfRule type="expression" dxfId="49" priority="33" stopIfTrue="1">
      <formula>#REF!="Ongoing"</formula>
    </cfRule>
    <cfRule type="expression" dxfId="4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101" t="s">
        <v>27</v>
      </c>
      <c r="F4" s="101"/>
      <c r="G4" s="101"/>
      <c r="H4" s="101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102" t="s">
        <v>38</v>
      </c>
      <c r="C6" s="103"/>
      <c r="D6" s="109"/>
      <c r="E6" s="104"/>
      <c r="F6" s="105"/>
      <c r="G6" s="105"/>
      <c r="H6" s="67"/>
      <c r="I6" s="68"/>
      <c r="J6" s="68"/>
      <c r="K6" s="68"/>
    </row>
    <row r="7" spans="1:11" ht="15" customHeight="1" x14ac:dyDescent="0.3">
      <c r="B7" s="102"/>
      <c r="C7" s="103"/>
      <c r="D7" s="110"/>
      <c r="E7" s="104"/>
      <c r="F7" s="105"/>
      <c r="G7" s="105"/>
      <c r="H7" s="67"/>
      <c r="I7" s="68"/>
      <c r="J7" s="68"/>
      <c r="K7" s="68"/>
    </row>
    <row r="8" spans="1:11" ht="15" customHeight="1" x14ac:dyDescent="0.3">
      <c r="B8" s="102"/>
      <c r="C8" s="103"/>
      <c r="D8" s="110"/>
      <c r="E8" s="104"/>
      <c r="F8" s="105"/>
      <c r="G8" s="105"/>
      <c r="H8" s="67"/>
      <c r="I8" s="68"/>
      <c r="J8" s="68"/>
      <c r="K8" s="68"/>
    </row>
    <row r="9" spans="1:11" ht="15" customHeight="1" x14ac:dyDescent="0.3">
      <c r="B9" s="102"/>
      <c r="C9" s="103"/>
      <c r="D9" s="110"/>
      <c r="E9" s="104"/>
      <c r="F9" s="105"/>
      <c r="G9" s="105"/>
      <c r="H9" s="67"/>
      <c r="I9" s="68"/>
      <c r="J9" s="68"/>
      <c r="K9" s="68"/>
    </row>
    <row r="10" spans="1:11" ht="15.75" customHeight="1" x14ac:dyDescent="0.3">
      <c r="B10" s="102"/>
      <c r="C10" s="103"/>
      <c r="D10" s="111"/>
      <c r="E10" s="104"/>
      <c r="F10" s="105"/>
      <c r="G10" s="105"/>
      <c r="H10" s="67"/>
      <c r="I10" s="68"/>
      <c r="J10" s="68"/>
      <c r="K10" s="68"/>
    </row>
    <row r="11" spans="1:11" ht="30" customHeight="1" x14ac:dyDescent="0.3">
      <c r="B11" s="102" t="s">
        <v>39</v>
      </c>
      <c r="C11" s="103"/>
      <c r="D11" s="109"/>
      <c r="E11" s="104"/>
      <c r="F11" s="105"/>
      <c r="G11" s="105"/>
      <c r="H11" s="67"/>
      <c r="I11" s="68"/>
      <c r="J11" s="68"/>
      <c r="K11" s="68"/>
    </row>
    <row r="12" spans="1:11" ht="30" customHeight="1" x14ac:dyDescent="0.3">
      <c r="B12" s="102"/>
      <c r="C12" s="103"/>
      <c r="D12" s="110"/>
      <c r="E12" s="104"/>
      <c r="F12" s="105"/>
      <c r="G12" s="105"/>
      <c r="H12" s="67"/>
      <c r="I12" s="68"/>
      <c r="J12" s="68"/>
      <c r="K12" s="68"/>
    </row>
    <row r="13" spans="1:11" ht="30" customHeight="1" x14ac:dyDescent="0.3">
      <c r="B13" s="102"/>
      <c r="C13" s="103"/>
      <c r="D13" s="110"/>
      <c r="E13" s="104"/>
      <c r="F13" s="105"/>
      <c r="G13" s="105"/>
      <c r="H13" s="67"/>
      <c r="I13" s="68"/>
      <c r="J13" s="68"/>
      <c r="K13" s="68"/>
    </row>
    <row r="14" spans="1:11" ht="15" customHeight="1" x14ac:dyDescent="0.3">
      <c r="B14" s="102"/>
      <c r="C14" s="103"/>
      <c r="D14" s="111"/>
      <c r="E14" s="104"/>
      <c r="F14" s="105"/>
      <c r="G14" s="105"/>
      <c r="H14" s="67"/>
      <c r="I14" s="68"/>
      <c r="J14" s="68"/>
    </row>
    <row r="15" spans="1:11" ht="15" customHeight="1" x14ac:dyDescent="0.3">
      <c r="B15" s="102" t="s">
        <v>40</v>
      </c>
      <c r="C15" s="103"/>
      <c r="D15" s="109"/>
      <c r="E15" s="104"/>
      <c r="F15" s="105"/>
      <c r="G15" s="105"/>
      <c r="H15" s="67"/>
      <c r="I15" s="68"/>
      <c r="J15" s="68"/>
      <c r="K15" s="68"/>
    </row>
    <row r="16" spans="1:11" ht="15" customHeight="1" x14ac:dyDescent="0.3">
      <c r="A16" s="69"/>
      <c r="B16" s="102"/>
      <c r="C16" s="103"/>
      <c r="D16" s="110"/>
      <c r="E16" s="104"/>
      <c r="F16" s="105"/>
      <c r="G16" s="105"/>
      <c r="H16" s="67"/>
      <c r="I16" s="68"/>
      <c r="J16" s="68"/>
      <c r="K16" s="68"/>
    </row>
    <row r="17" spans="1:11" ht="15" customHeight="1" x14ac:dyDescent="0.3">
      <c r="A17" s="69"/>
      <c r="B17" s="102"/>
      <c r="C17" s="103"/>
      <c r="D17" s="110"/>
      <c r="E17" s="104"/>
      <c r="F17" s="105"/>
      <c r="G17" s="105"/>
      <c r="H17" s="67"/>
      <c r="I17" s="68"/>
      <c r="J17" s="68"/>
      <c r="K17" s="68"/>
    </row>
    <row r="18" spans="1:11" ht="15" customHeight="1" x14ac:dyDescent="0.3">
      <c r="A18" s="69"/>
      <c r="B18" s="102"/>
      <c r="C18" s="103"/>
      <c r="D18" s="111"/>
      <c r="E18" s="104"/>
      <c r="F18" s="105"/>
      <c r="G18" s="105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04"/>
      <c r="F19" s="106"/>
      <c r="G19" s="107"/>
      <c r="H19" s="107"/>
      <c r="I19" s="107"/>
      <c r="J19" s="107"/>
      <c r="K19" s="108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102" t="s">
        <v>41</v>
      </c>
      <c r="C21" s="103"/>
      <c r="D21" s="109"/>
      <c r="E21" s="115"/>
      <c r="F21" s="105"/>
      <c r="G21" s="105"/>
      <c r="H21" s="67"/>
      <c r="I21" s="68"/>
      <c r="J21" s="68"/>
      <c r="K21" s="68"/>
    </row>
    <row r="22" spans="1:11" ht="31.2" customHeight="1" x14ac:dyDescent="0.3">
      <c r="B22" s="102"/>
      <c r="C22" s="103"/>
      <c r="D22" s="110"/>
      <c r="E22" s="115"/>
      <c r="F22" s="105"/>
      <c r="G22" s="105"/>
      <c r="H22" s="67"/>
      <c r="I22" s="68"/>
      <c r="J22" s="68"/>
      <c r="K22" s="68"/>
    </row>
    <row r="23" spans="1:11" ht="31.2" customHeight="1" x14ac:dyDescent="0.3">
      <c r="B23" s="102"/>
      <c r="C23" s="103"/>
      <c r="D23" s="110"/>
      <c r="E23" s="115"/>
      <c r="F23" s="105"/>
      <c r="G23" s="105"/>
      <c r="H23" s="67"/>
      <c r="I23" s="68"/>
      <c r="J23" s="68"/>
      <c r="K23" s="68"/>
    </row>
    <row r="24" spans="1:11" ht="15" customHeight="1" x14ac:dyDescent="0.3">
      <c r="B24" s="102"/>
      <c r="C24" s="103"/>
      <c r="D24" s="111"/>
      <c r="E24" s="115"/>
      <c r="F24" s="105"/>
      <c r="G24" s="105"/>
      <c r="H24" s="67"/>
      <c r="I24" s="68"/>
      <c r="J24" s="68"/>
      <c r="K24" s="68"/>
    </row>
    <row r="25" spans="1:11" ht="30" customHeight="1" x14ac:dyDescent="0.3">
      <c r="B25" s="102" t="s">
        <v>42</v>
      </c>
      <c r="C25" s="103"/>
      <c r="D25" s="109"/>
      <c r="E25" s="115"/>
      <c r="F25" s="105"/>
      <c r="G25" s="105"/>
      <c r="H25" s="67"/>
      <c r="I25" s="68"/>
      <c r="J25" s="68"/>
      <c r="K25" s="68"/>
    </row>
    <row r="26" spans="1:11" ht="45" customHeight="1" x14ac:dyDescent="0.3">
      <c r="A26" s="69"/>
      <c r="B26" s="102"/>
      <c r="C26" s="103"/>
      <c r="D26" s="110"/>
      <c r="E26" s="115"/>
      <c r="F26" s="105"/>
      <c r="G26" s="105"/>
      <c r="H26" s="67"/>
      <c r="I26" s="68"/>
      <c r="J26" s="68"/>
      <c r="K26" s="68"/>
    </row>
    <row r="27" spans="1:11" ht="31.2" customHeight="1" x14ac:dyDescent="0.3">
      <c r="A27" s="69"/>
      <c r="B27" s="102"/>
      <c r="C27" s="103"/>
      <c r="D27" s="110"/>
      <c r="E27" s="115"/>
      <c r="F27" s="105"/>
      <c r="G27" s="105"/>
      <c r="H27" s="67"/>
      <c r="I27" s="68"/>
      <c r="J27" s="68"/>
      <c r="K27" s="68"/>
    </row>
    <row r="28" spans="1:11" ht="15" customHeight="1" x14ac:dyDescent="0.3">
      <c r="A28" s="69"/>
      <c r="B28" s="102"/>
      <c r="C28" s="103"/>
      <c r="D28" s="111"/>
      <c r="E28" s="115"/>
      <c r="F28" s="105"/>
      <c r="G28" s="105"/>
      <c r="H28" s="67"/>
      <c r="I28" s="68"/>
      <c r="J28" s="68"/>
      <c r="K28" s="68"/>
    </row>
    <row r="29" spans="1:11" ht="16.5" customHeight="1" x14ac:dyDescent="0.3">
      <c r="A29" s="69"/>
      <c r="B29" s="116" t="s">
        <v>43</v>
      </c>
      <c r="C29" s="117"/>
      <c r="D29" s="112"/>
      <c r="E29" s="115"/>
      <c r="F29" s="105"/>
      <c r="G29" s="105"/>
      <c r="H29" s="67"/>
      <c r="I29" s="68"/>
      <c r="J29" s="68"/>
      <c r="K29" s="68"/>
    </row>
    <row r="30" spans="1:11" ht="15" customHeight="1" x14ac:dyDescent="0.3">
      <c r="A30" s="69"/>
      <c r="B30" s="116"/>
      <c r="C30" s="117"/>
      <c r="D30" s="113"/>
      <c r="E30" s="115"/>
      <c r="F30" s="105"/>
      <c r="G30" s="105"/>
      <c r="H30" s="67"/>
      <c r="I30" s="68"/>
      <c r="J30" s="68"/>
      <c r="K30" s="68"/>
    </row>
    <row r="31" spans="1:11" ht="15" customHeight="1" x14ac:dyDescent="0.3">
      <c r="A31" s="69"/>
      <c r="B31" s="116"/>
      <c r="C31" s="117"/>
      <c r="D31" s="113"/>
      <c r="E31" s="115"/>
      <c r="F31" s="105"/>
      <c r="G31" s="105"/>
      <c r="H31" s="67"/>
      <c r="I31" s="68"/>
      <c r="J31" s="68"/>
      <c r="K31" s="68"/>
    </row>
    <row r="32" spans="1:11" ht="30.75" customHeight="1" x14ac:dyDescent="0.3">
      <c r="A32" s="69"/>
      <c r="B32" s="116"/>
      <c r="C32" s="117"/>
      <c r="D32" s="114"/>
      <c r="E32" s="115"/>
      <c r="F32" s="105"/>
      <c r="G32" s="105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15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11:D14"/>
    <mergeCell ref="D15:D18"/>
    <mergeCell ref="B25:B28"/>
    <mergeCell ref="C25:C28"/>
    <mergeCell ref="D21:D24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P70"/>
  <sheetViews>
    <sheetView tabSelected="1" topLeftCell="B1" zoomScaleNormal="100" workbookViewId="0">
      <pane ySplit="14" topLeftCell="A15" activePane="bottomLeft" state="frozen"/>
      <selection pane="bottomLeft" activeCell="F16" sqref="F16"/>
    </sheetView>
  </sheetViews>
  <sheetFormatPr baseColWidth="10" defaultColWidth="8.6640625" defaultRowHeight="13.2" x14ac:dyDescent="0.25"/>
  <cols>
    <col min="1" max="1" width="39.109375" customWidth="1"/>
    <col min="2" max="2" width="8.44140625" style="2" customWidth="1"/>
    <col min="3" max="3" width="15.33203125" customWidth="1"/>
    <col min="4" max="4" width="10.6640625" customWidth="1"/>
    <col min="5" max="5" width="4.109375" style="2" customWidth="1"/>
    <col min="6" max="6" width="4" style="2" customWidth="1"/>
    <col min="7" max="7" width="3.33203125" style="2" customWidth="1"/>
    <col min="8" max="30" width="4.44140625" style="2" customWidth="1"/>
    <col min="31" max="35" width="3" bestFit="1" customWidth="1"/>
  </cols>
  <sheetData>
    <row r="1" spans="1:42" ht="17.399999999999999" x14ac:dyDescent="0.3"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42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42" ht="17.399999999999999" x14ac:dyDescent="0.3">
      <c r="A3" s="93"/>
    </row>
    <row r="4" spans="1:42" x14ac:dyDescent="0.25">
      <c r="A4" s="60"/>
    </row>
    <row r="5" spans="1:42" x14ac:dyDescent="0.25">
      <c r="A5" s="99"/>
    </row>
    <row r="9" spans="1:42" x14ac:dyDescent="0.25">
      <c r="A9" s="18" t="s">
        <v>45</v>
      </c>
      <c r="B9" s="35">
        <v>30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121" t="s">
        <v>81</v>
      </c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</row>
    <row r="10" spans="1:42" x14ac:dyDescent="0.25">
      <c r="A10" s="18" t="s">
        <v>48</v>
      </c>
      <c r="B10" s="35"/>
      <c r="C10" s="18" t="s">
        <v>3</v>
      </c>
      <c r="D10" s="18" t="s">
        <v>49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42" hidden="1" x14ac:dyDescent="0.25">
      <c r="A11" t="s">
        <v>50</v>
      </c>
      <c r="B11" s="2">
        <f>IF(COUNTA(A15:A248)=0,1,COUNTA(A15:A248))</f>
        <v>1</v>
      </c>
      <c r="C11" t="s">
        <v>51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>
        <f t="shared" ca="1" si="1"/>
        <v>0</v>
      </c>
      <c r="L11" s="2">
        <f t="shared" ca="1" si="1"/>
        <v>0</v>
      </c>
      <c r="M11" s="2">
        <f t="shared" ca="1" si="1"/>
        <v>0</v>
      </c>
      <c r="N11" s="2">
        <f t="shared" ca="1" si="1"/>
        <v>0</v>
      </c>
      <c r="O11" s="2">
        <f t="shared" ca="1" si="1"/>
        <v>0</v>
      </c>
      <c r="P11" s="2">
        <f t="shared" ca="1" si="1"/>
        <v>0</v>
      </c>
      <c r="Q11" s="2">
        <f t="shared" ca="1" si="1"/>
        <v>0</v>
      </c>
      <c r="R11" s="2">
        <f t="shared" ca="1" si="1"/>
        <v>0</v>
      </c>
      <c r="S11" s="2">
        <f t="shared" ca="1" si="1"/>
        <v>0</v>
      </c>
      <c r="T11" s="2">
        <f t="shared" ca="1" si="1"/>
        <v>0</v>
      </c>
      <c r="U11" s="2">
        <f t="shared" ca="1" si="1"/>
        <v>0</v>
      </c>
      <c r="V11" s="2">
        <f t="shared" ca="1" si="1"/>
        <v>0</v>
      </c>
      <c r="W11" s="2">
        <f t="shared" ca="1" si="1"/>
        <v>0</v>
      </c>
      <c r="X11" s="2">
        <f t="shared" ca="1" si="1"/>
        <v>0</v>
      </c>
      <c r="Y11" s="2">
        <f t="shared" ca="1" si="1"/>
        <v>0</v>
      </c>
      <c r="Z11" s="2">
        <f t="shared" ca="1" si="1"/>
        <v>0</v>
      </c>
      <c r="AA11" s="2">
        <f t="shared" ca="1" si="1"/>
        <v>0</v>
      </c>
      <c r="AB11" s="2">
        <f t="shared" ca="1" si="1"/>
        <v>0</v>
      </c>
      <c r="AC11" s="2">
        <f t="shared" ca="1" si="1"/>
        <v>0</v>
      </c>
      <c r="AD11" s="2">
        <f t="shared" ca="1" si="1"/>
        <v>0</v>
      </c>
    </row>
    <row r="12" spans="1:42" hidden="1" x14ac:dyDescent="0.25">
      <c r="A12" s="53" t="s">
        <v>52</v>
      </c>
      <c r="B12"/>
      <c r="C12" t="s">
        <v>53</v>
      </c>
      <c r="D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42" hidden="1" x14ac:dyDescent="0.25">
      <c r="A13" s="53" t="s">
        <v>54</v>
      </c>
      <c r="B13"/>
      <c r="C13" t="s">
        <v>55</v>
      </c>
      <c r="D13" s="2">
        <f ca="1">IF(DoneDays&gt;B10,B10,DoneDays)</f>
        <v>0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42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>IF($B$9&gt;Z14,Z14+1,"")</f>
        <v>22</v>
      </c>
      <c r="AB14" s="19">
        <f t="shared" si="3"/>
        <v>23</v>
      </c>
      <c r="AC14" s="19">
        <f>IF($B$9&gt;AB14,AB14+1,"")</f>
        <v>24</v>
      </c>
      <c r="AD14" s="19">
        <f t="shared" ref="AD14:AE14" si="4">IF($B$9&gt;AC14,AC14+1,"")</f>
        <v>25</v>
      </c>
      <c r="AE14" s="19">
        <f t="shared" si="4"/>
        <v>26</v>
      </c>
      <c r="AF14" s="19">
        <f t="shared" ref="AF14:AG14" si="5">IF($B$9&gt;AE14,AE14+1,"")</f>
        <v>27</v>
      </c>
      <c r="AG14" s="19">
        <f t="shared" si="5"/>
        <v>28</v>
      </c>
      <c r="AH14" s="19">
        <f t="shared" ref="AH14:AI14" si="6">IF($B$9&gt;AG14,AG14+1,"")</f>
        <v>29</v>
      </c>
      <c r="AI14" s="19">
        <f t="shared" si="6"/>
        <v>30</v>
      </c>
      <c r="AJ14" s="19" t="str">
        <f t="shared" ref="AJ14:AK14" si="7">IF($B$9&gt;AI14,AI14+1,"")</f>
        <v/>
      </c>
      <c r="AK14" s="19" t="str">
        <f t="shared" si="7"/>
        <v/>
      </c>
      <c r="AL14" s="19" t="str">
        <f t="shared" ref="AL14:AM14" si="8">IF($B$9&gt;AK14,AK14+1,"")</f>
        <v/>
      </c>
      <c r="AM14" s="19" t="str">
        <f t="shared" si="8"/>
        <v/>
      </c>
      <c r="AN14" s="19" t="str">
        <f t="shared" ref="AN14:AO14" si="9">IF($B$9&gt;AM14,AM14+1,"")</f>
        <v/>
      </c>
      <c r="AO14" s="19" t="str">
        <f t="shared" si="9"/>
        <v/>
      </c>
      <c r="AP14" s="120"/>
    </row>
    <row r="15" spans="1:42" ht="14.4" x14ac:dyDescent="0.3">
      <c r="A15" s="98"/>
      <c r="B15" s="118"/>
      <c r="C15" s="60"/>
      <c r="D15" s="98" t="s">
        <v>13</v>
      </c>
      <c r="E15" s="97"/>
      <c r="F15" s="97"/>
      <c r="G15" s="97"/>
      <c r="H15" s="97"/>
      <c r="I15" s="97"/>
      <c r="J15" s="97"/>
      <c r="K15" s="97"/>
      <c r="L15" s="97"/>
      <c r="M15" s="100"/>
      <c r="N15" s="100"/>
      <c r="O15" s="100"/>
      <c r="P15" s="100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</row>
    <row r="16" spans="1:42" ht="14.4" x14ac:dyDescent="0.3">
      <c r="A16" s="98"/>
      <c r="B16" s="118"/>
      <c r="C16" s="60"/>
      <c r="D16" s="98" t="s">
        <v>13</v>
      </c>
      <c r="E16" s="97"/>
      <c r="F16" s="97"/>
      <c r="G16" s="97"/>
      <c r="H16" s="97"/>
      <c r="I16" s="97"/>
      <c r="J16" s="97"/>
      <c r="K16" s="97"/>
      <c r="L16" s="97"/>
      <c r="M16" s="100"/>
      <c r="N16" s="100"/>
      <c r="O16" s="100"/>
      <c r="P16" s="100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</row>
    <row r="17" spans="1:41" ht="14.4" x14ac:dyDescent="0.3">
      <c r="A17" s="98"/>
      <c r="B17" s="118"/>
      <c r="C17" s="60"/>
      <c r="D17" s="98" t="s">
        <v>13</v>
      </c>
      <c r="E17" s="97"/>
      <c r="F17" s="97"/>
      <c r="G17" s="97"/>
      <c r="H17" s="97"/>
      <c r="I17" s="97"/>
      <c r="J17" s="97"/>
      <c r="K17" s="97"/>
      <c r="L17" s="97"/>
      <c r="M17" s="100"/>
      <c r="N17" s="100"/>
      <c r="O17" s="100"/>
      <c r="P17" s="100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</row>
    <row r="18" spans="1:41" ht="14.4" x14ac:dyDescent="0.3">
      <c r="A18" s="98"/>
      <c r="B18" s="118"/>
      <c r="C18" s="60"/>
      <c r="D18" s="98" t="s">
        <v>13</v>
      </c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</row>
    <row r="19" spans="1:41" ht="14.4" x14ac:dyDescent="0.3">
      <c r="A19" s="98"/>
      <c r="B19" s="118"/>
      <c r="C19" s="60"/>
      <c r="D19" s="60" t="s">
        <v>13</v>
      </c>
      <c r="E19" s="97"/>
      <c r="F19" s="97"/>
      <c r="G19" s="97"/>
      <c r="H19" s="97"/>
      <c r="I19" s="97"/>
      <c r="J19" s="97"/>
      <c r="K19" s="97"/>
      <c r="L19" s="97"/>
      <c r="M19" s="100"/>
      <c r="N19" s="100"/>
      <c r="O19" s="100"/>
      <c r="P19" s="100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</row>
    <row r="20" spans="1:41" ht="14.4" x14ac:dyDescent="0.3">
      <c r="A20" s="98"/>
      <c r="B20" s="118"/>
      <c r="D20" s="98" t="s">
        <v>13</v>
      </c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</row>
    <row r="21" spans="1:41" ht="14.4" x14ac:dyDescent="0.3">
      <c r="A21" s="98"/>
      <c r="B21" s="118"/>
      <c r="C21" s="60"/>
      <c r="D21" s="60" t="s">
        <v>13</v>
      </c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</row>
    <row r="22" spans="1:41" ht="14.4" x14ac:dyDescent="0.3">
      <c r="A22" s="98"/>
      <c r="B22" s="118"/>
      <c r="C22" s="60"/>
      <c r="D22" s="60" t="s">
        <v>13</v>
      </c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</row>
    <row r="23" spans="1:41" ht="14.4" x14ac:dyDescent="0.3">
      <c r="A23" s="98"/>
      <c r="B23" s="118"/>
      <c r="C23" s="60"/>
      <c r="D23" s="60" t="s">
        <v>13</v>
      </c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</row>
    <row r="24" spans="1:41" ht="14.4" x14ac:dyDescent="0.3">
      <c r="A24" s="98"/>
      <c r="B24" s="118"/>
      <c r="C24" s="60"/>
      <c r="D24" s="60" t="s">
        <v>13</v>
      </c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</row>
    <row r="25" spans="1:41" ht="14.4" x14ac:dyDescent="0.3">
      <c r="A25" s="98"/>
      <c r="B25" s="118"/>
      <c r="C25" s="60"/>
      <c r="D25" s="60" t="s">
        <v>13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</row>
    <row r="26" spans="1:41" ht="14.4" x14ac:dyDescent="0.3">
      <c r="A26" s="98"/>
      <c r="B26" s="118"/>
      <c r="C26" s="60"/>
      <c r="D26" s="60" t="s">
        <v>13</v>
      </c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</row>
    <row r="27" spans="1:41" ht="14.4" x14ac:dyDescent="0.3">
      <c r="A27" s="119"/>
      <c r="B27" s="118"/>
      <c r="C27" s="60"/>
      <c r="D27" s="60" t="s">
        <v>13</v>
      </c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</row>
    <row r="28" spans="1:41" ht="14.4" x14ac:dyDescent="0.3">
      <c r="A28" s="98"/>
      <c r="B28" s="118"/>
      <c r="C28" s="60"/>
      <c r="D28" s="60" t="s">
        <v>13</v>
      </c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</row>
    <row r="29" spans="1:41" ht="14.4" x14ac:dyDescent="0.3">
      <c r="A29" s="98"/>
      <c r="B29" s="118"/>
      <c r="C29" s="60"/>
      <c r="D29" s="60" t="s">
        <v>13</v>
      </c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</row>
    <row r="30" spans="1:41" ht="14.4" x14ac:dyDescent="0.3">
      <c r="A30" s="98"/>
      <c r="B30" s="118"/>
      <c r="C30" s="60"/>
      <c r="D30" s="60" t="s">
        <v>13</v>
      </c>
      <c r="E30" s="97"/>
      <c r="F30" s="97"/>
      <c r="G30" s="97"/>
      <c r="H30" s="97"/>
      <c r="I30" s="97"/>
      <c r="J30" s="97"/>
      <c r="K30" s="97"/>
      <c r="L30" s="97"/>
      <c r="M30" s="100"/>
      <c r="N30" s="100"/>
      <c r="O30" s="100"/>
      <c r="P30" s="100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</row>
    <row r="31" spans="1:41" ht="14.4" x14ac:dyDescent="0.3">
      <c r="C31" s="60"/>
      <c r="D31" s="60" t="s">
        <v>13</v>
      </c>
      <c r="E31" s="97"/>
      <c r="F31" s="97"/>
      <c r="G31" s="97"/>
      <c r="H31" s="97"/>
      <c r="I31" s="97"/>
      <c r="J31" s="97"/>
      <c r="K31" s="97"/>
      <c r="L31" s="97"/>
      <c r="M31" s="100"/>
      <c r="N31" s="100"/>
      <c r="O31" s="100"/>
      <c r="P31" s="100"/>
      <c r="Q31" s="97"/>
      <c r="R31" s="97"/>
      <c r="S31" s="97"/>
    </row>
    <row r="32" spans="1:41" ht="14.4" x14ac:dyDescent="0.3">
      <c r="C32" s="60"/>
      <c r="D32" s="60" t="s">
        <v>13</v>
      </c>
      <c r="E32" s="97"/>
      <c r="F32" s="97"/>
      <c r="G32" s="97"/>
      <c r="H32" s="97"/>
      <c r="I32" s="97"/>
      <c r="J32" s="97"/>
      <c r="K32" s="97"/>
      <c r="L32" s="97"/>
      <c r="M32" s="100"/>
      <c r="N32" s="100"/>
      <c r="O32" s="100"/>
      <c r="P32" s="100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</row>
    <row r="33" spans="1:26" ht="14.4" x14ac:dyDescent="0.3">
      <c r="A33" s="98"/>
      <c r="C33" s="60"/>
      <c r="D33" s="60" t="s">
        <v>13</v>
      </c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</row>
    <row r="34" spans="1:26" ht="14.4" x14ac:dyDescent="0.3">
      <c r="C34" s="60"/>
      <c r="D34" s="60" t="s">
        <v>13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</row>
    <row r="35" spans="1:26" ht="14.4" x14ac:dyDescent="0.3">
      <c r="D35" s="60" t="s">
        <v>13</v>
      </c>
      <c r="E35" s="97"/>
      <c r="F35" s="97"/>
      <c r="G35" s="97"/>
      <c r="H35" s="97"/>
      <c r="I35" s="97"/>
      <c r="J35" s="97"/>
      <c r="K35" s="97"/>
      <c r="L35" s="97"/>
    </row>
    <row r="36" spans="1:26" x14ac:dyDescent="0.25">
      <c r="D36" t="str">
        <f>IF(A32&lt;&gt;"","Planned","")</f>
        <v/>
      </c>
    </row>
    <row r="37" spans="1:26" x14ac:dyDescent="0.25">
      <c r="D37" t="str">
        <f>IF(A37&lt;&gt;"","Planned","")</f>
        <v/>
      </c>
    </row>
    <row r="38" spans="1:26" x14ac:dyDescent="0.25">
      <c r="D38" t="str">
        <f>IF(A38&lt;&gt;"","Planned","")</f>
        <v/>
      </c>
    </row>
    <row r="39" spans="1:26" x14ac:dyDescent="0.25">
      <c r="D39" t="str">
        <f>IF(A39&lt;&gt;"","Planned","")</f>
        <v/>
      </c>
    </row>
    <row r="40" spans="1:26" x14ac:dyDescent="0.25">
      <c r="D40" t="str">
        <f t="shared" ref="D40:D62" si="10">IF(A40&lt;&gt;"","Planned","")</f>
        <v/>
      </c>
    </row>
    <row r="41" spans="1:26" x14ac:dyDescent="0.25">
      <c r="D41" t="str">
        <f t="shared" si="10"/>
        <v/>
      </c>
    </row>
    <row r="42" spans="1:26" x14ac:dyDescent="0.25">
      <c r="D42" t="str">
        <f t="shared" si="10"/>
        <v/>
      </c>
    </row>
    <row r="43" spans="1:26" x14ac:dyDescent="0.25">
      <c r="D43" t="str">
        <f t="shared" si="10"/>
        <v/>
      </c>
    </row>
    <row r="44" spans="1:26" x14ac:dyDescent="0.25">
      <c r="D44" t="str">
        <f t="shared" si="10"/>
        <v/>
      </c>
    </row>
    <row r="45" spans="1:26" x14ac:dyDescent="0.25">
      <c r="D45" t="str">
        <f t="shared" si="10"/>
        <v/>
      </c>
    </row>
    <row r="46" spans="1:26" x14ac:dyDescent="0.25">
      <c r="D46" t="str">
        <f t="shared" si="10"/>
        <v/>
      </c>
    </row>
    <row r="47" spans="1:26" x14ac:dyDescent="0.25">
      <c r="D47" t="str">
        <f t="shared" si="10"/>
        <v/>
      </c>
    </row>
    <row r="48" spans="1:26" x14ac:dyDescent="0.25">
      <c r="D48" t="str">
        <f t="shared" si="10"/>
        <v/>
      </c>
    </row>
    <row r="49" spans="1:4" x14ac:dyDescent="0.25">
      <c r="D49" t="str">
        <f t="shared" si="10"/>
        <v/>
      </c>
    </row>
    <row r="50" spans="1:4" x14ac:dyDescent="0.25">
      <c r="D50" t="str">
        <f t="shared" si="10"/>
        <v/>
      </c>
    </row>
    <row r="51" spans="1:4" x14ac:dyDescent="0.25">
      <c r="D51" t="str">
        <f t="shared" si="10"/>
        <v/>
      </c>
    </row>
    <row r="52" spans="1:4" x14ac:dyDescent="0.25">
      <c r="D52" t="str">
        <f t="shared" si="10"/>
        <v/>
      </c>
    </row>
    <row r="53" spans="1:4" x14ac:dyDescent="0.25">
      <c r="D53" t="str">
        <f t="shared" si="10"/>
        <v/>
      </c>
    </row>
    <row r="54" spans="1:4" x14ac:dyDescent="0.25">
      <c r="D54" t="str">
        <f t="shared" si="10"/>
        <v/>
      </c>
    </row>
    <row r="55" spans="1:4" x14ac:dyDescent="0.25">
      <c r="D55" t="str">
        <f t="shared" si="10"/>
        <v/>
      </c>
    </row>
    <row r="56" spans="1:4" x14ac:dyDescent="0.25">
      <c r="D56" t="str">
        <f t="shared" si="10"/>
        <v/>
      </c>
    </row>
    <row r="57" spans="1:4" x14ac:dyDescent="0.25">
      <c r="D57" t="str">
        <f t="shared" si="10"/>
        <v/>
      </c>
    </row>
    <row r="58" spans="1:4" x14ac:dyDescent="0.25">
      <c r="D58" t="str">
        <f t="shared" si="10"/>
        <v/>
      </c>
    </row>
    <row r="59" spans="1:4" x14ac:dyDescent="0.25">
      <c r="D59" t="str">
        <f t="shared" si="10"/>
        <v/>
      </c>
    </row>
    <row r="60" spans="1:4" x14ac:dyDescent="0.25">
      <c r="D60" t="str">
        <f t="shared" si="10"/>
        <v/>
      </c>
    </row>
    <row r="61" spans="1:4" x14ac:dyDescent="0.25">
      <c r="D61" t="str">
        <f t="shared" si="10"/>
        <v/>
      </c>
    </row>
    <row r="62" spans="1:4" x14ac:dyDescent="0.25">
      <c r="D62" t="str">
        <f t="shared" si="10"/>
        <v/>
      </c>
    </row>
    <row r="64" spans="1:4" x14ac:dyDescent="0.25">
      <c r="A64" s="60"/>
      <c r="C64" s="60"/>
    </row>
    <row r="65" spans="1:4" x14ac:dyDescent="0.25">
      <c r="A65" s="60"/>
      <c r="C65" s="60"/>
    </row>
    <row r="70" spans="1:4" x14ac:dyDescent="0.25">
      <c r="D70" t="str">
        <f>IF(A70&lt;&gt;"","Planned","")</f>
        <v/>
      </c>
    </row>
  </sheetData>
  <sortState xmlns:xlrd2="http://schemas.microsoft.com/office/spreadsheetml/2017/richdata2" ref="A15:AD69">
    <sortCondition ref="B14"/>
    <sortCondition ref="D14"/>
  </sortState>
  <phoneticPr fontId="2" type="noConversion"/>
  <conditionalFormatting sqref="B35:D35 B33:C34 A64:W64 B26:B30 T26:AD26 T24:AD24 AA25:AD25 C30:C32 B15:B18 A33 D15:D35 A37:W62 B36:W36">
    <cfRule type="expression" dxfId="47" priority="39" stopIfTrue="1">
      <formula>$D15="Done"</formula>
    </cfRule>
    <cfRule type="expression" dxfId="46" priority="40" stopIfTrue="1">
      <formula>$D15="Ongoing"</formula>
    </cfRule>
  </conditionalFormatting>
  <conditionalFormatting sqref="B19">
    <cfRule type="expression" dxfId="45" priority="37" stopIfTrue="1">
      <formula>$D19="Done"</formula>
    </cfRule>
    <cfRule type="expression" dxfId="44" priority="38" stopIfTrue="1">
      <formula>$D19="Ongoing"</formula>
    </cfRule>
  </conditionalFormatting>
  <conditionalFormatting sqref="B20">
    <cfRule type="expression" dxfId="43" priority="35" stopIfTrue="1">
      <formula>$D20="Done"</formula>
    </cfRule>
    <cfRule type="expression" dxfId="42" priority="36" stopIfTrue="1">
      <formula>$D20="Ongoing"</formula>
    </cfRule>
  </conditionalFormatting>
  <conditionalFormatting sqref="B21:B22">
    <cfRule type="expression" dxfId="41" priority="33" stopIfTrue="1">
      <formula>$D21="Done"</formula>
    </cfRule>
    <cfRule type="expression" dxfId="40" priority="34" stopIfTrue="1">
      <formula>$D21="Ongoing"</formula>
    </cfRule>
  </conditionalFormatting>
  <conditionalFormatting sqref="B23:B24">
    <cfRule type="expression" dxfId="39" priority="31" stopIfTrue="1">
      <formula>$D23="Done"</formula>
    </cfRule>
    <cfRule type="expression" dxfId="38" priority="32" stopIfTrue="1">
      <formula>$D23="Ongoing"</formula>
    </cfRule>
  </conditionalFormatting>
  <conditionalFormatting sqref="B25">
    <cfRule type="expression" dxfId="37" priority="29" stopIfTrue="1">
      <formula>$D25="Done"</formula>
    </cfRule>
    <cfRule type="expression" dxfId="36" priority="30" stopIfTrue="1">
      <formula>$D25="Ongoing"</formula>
    </cfRule>
  </conditionalFormatting>
  <conditionalFormatting sqref="X33:AD33">
    <cfRule type="expression" dxfId="35" priority="67" stopIfTrue="1">
      <formula>#REF!="Done"</formula>
    </cfRule>
    <cfRule type="expression" dxfId="34" priority="68" stopIfTrue="1">
      <formula>#REF!="Ongoing"</formula>
    </cfRule>
  </conditionalFormatting>
  <conditionalFormatting sqref="T33:W33 T31:Z31">
    <cfRule type="expression" dxfId="33" priority="73" stopIfTrue="1">
      <formula>$D33="Done"</formula>
    </cfRule>
    <cfRule type="expression" dxfId="32" priority="74" stopIfTrue="1">
      <formula>$D33="Ongoing"</formula>
    </cfRule>
  </conditionalFormatting>
  <conditionalFormatting sqref="X36:AD36 M35:AD35">
    <cfRule type="expression" dxfId="31" priority="75" stopIfTrue="1">
      <formula>#REF!="Done"</formula>
    </cfRule>
    <cfRule type="expression" dxfId="30" priority="76" stopIfTrue="1">
      <formula>#REF!="Ongoing"</formula>
    </cfRule>
  </conditionalFormatting>
  <conditionalFormatting sqref="S63:W63">
    <cfRule type="expression" dxfId="29" priority="93" stopIfTrue="1">
      <formula>$D34="Done"</formula>
    </cfRule>
    <cfRule type="expression" dxfId="28" priority="94" stopIfTrue="1">
      <formula>$D34="Ongoing"</formula>
    </cfRule>
  </conditionalFormatting>
  <conditionalFormatting sqref="AA34:AD34">
    <cfRule type="expression" dxfId="27" priority="97" stopIfTrue="1">
      <formula>$D35="Done"</formula>
    </cfRule>
    <cfRule type="expression" dxfId="26" priority="98" stopIfTrue="1">
      <formula>$D35="Ongoing"</formula>
    </cfRule>
  </conditionalFormatting>
  <conditionalFormatting sqref="X65:AD65 X37:AD63">
    <cfRule type="expression" dxfId="25" priority="99" stopIfTrue="1">
      <formula>$D36="Done"</formula>
    </cfRule>
    <cfRule type="expression" dxfId="24" priority="100" stopIfTrue="1">
      <formula>$D36="Ongoing"</formula>
    </cfRule>
  </conditionalFormatting>
  <conditionalFormatting sqref="X64:AD64">
    <cfRule type="expression" dxfId="23" priority="147" stopIfTrue="1">
      <formula>$D34="Done"</formula>
    </cfRule>
    <cfRule type="expression" dxfId="22" priority="148" stopIfTrue="1">
      <formula>$D34="Ongoing"</formula>
    </cfRule>
  </conditionalFormatting>
  <conditionalFormatting sqref="A15:A19">
    <cfRule type="expression" dxfId="21" priority="13" stopIfTrue="1">
      <formula>$D18="Done"</formula>
    </cfRule>
    <cfRule type="expression" dxfId="20" priority="14" stopIfTrue="1">
      <formula>$D18="Ongoing"</formula>
    </cfRule>
  </conditionalFormatting>
  <conditionalFormatting sqref="A20">
    <cfRule type="expression" dxfId="19" priority="11" stopIfTrue="1">
      <formula>$D23="Done"</formula>
    </cfRule>
    <cfRule type="expression" dxfId="18" priority="12" stopIfTrue="1">
      <formula>$D23="Ongoing"</formula>
    </cfRule>
  </conditionalFormatting>
  <conditionalFormatting sqref="A32 A21:A22 A29">
    <cfRule type="expression" dxfId="17" priority="9" stopIfTrue="1">
      <formula>$D25="Done"</formula>
    </cfRule>
    <cfRule type="expression" dxfId="16" priority="10" stopIfTrue="1">
      <formula>$D25="Ongoing"</formula>
    </cfRule>
  </conditionalFormatting>
  <conditionalFormatting sqref="A22">
    <cfRule type="expression" dxfId="15" priority="7" stopIfTrue="1">
      <formula>$D26="Done"</formula>
    </cfRule>
    <cfRule type="expression" dxfId="14" priority="8" stopIfTrue="1">
      <formula>$D26="Ongoing"</formula>
    </cfRule>
  </conditionalFormatting>
  <conditionalFormatting sqref="A28">
    <cfRule type="expression" dxfId="13" priority="5" stopIfTrue="1">
      <formula>$D33="Done"</formula>
    </cfRule>
    <cfRule type="expression" dxfId="12" priority="6" stopIfTrue="1">
      <formula>$D33="Ongoing"</formula>
    </cfRule>
  </conditionalFormatting>
  <conditionalFormatting sqref="A21">
    <cfRule type="expression" dxfId="11" priority="3" stopIfTrue="1">
      <formula>$D25="Done"</formula>
    </cfRule>
    <cfRule type="expression" dxfId="10" priority="4" stopIfTrue="1">
      <formula>$D25="Ongoing"</formula>
    </cfRule>
  </conditionalFormatting>
  <conditionalFormatting sqref="A23:A24">
    <cfRule type="expression" dxfId="9" priority="1" stopIfTrue="1">
      <formula>$D30="Done"</formula>
    </cfRule>
    <cfRule type="expression" dxfId="8" priority="2" stopIfTrue="1">
      <formula>$D30="Ongoing"</formula>
    </cfRule>
  </conditionalFormatting>
  <conditionalFormatting sqref="A30">
    <cfRule type="expression" dxfId="7" priority="153" stopIfTrue="1">
      <formula>$D35="Done"</formula>
    </cfRule>
    <cfRule type="expression" dxfId="6" priority="154" stopIfTrue="1">
      <formula>$D35="Ongoing"</formula>
    </cfRule>
  </conditionalFormatting>
  <conditionalFormatting sqref="A25:A26">
    <cfRule type="expression" dxfId="5" priority="155" stopIfTrue="1">
      <formula>$D31="Done"</formula>
    </cfRule>
    <cfRule type="expression" dxfId="4" priority="156" stopIfTrue="1">
      <formula>$D31="Ongoing"</formula>
    </cfRule>
  </conditionalFormatting>
  <dataValidations count="1">
    <dataValidation type="list" allowBlank="1" showInputMessage="1" sqref="D3:D8 D64:D70 D15:D62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2021-05-29T15:46:12Z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